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ransactions_raw" sheetId="1" r:id="rId1"/>
    <sheet name="exchange_rates" sheetId="4" r:id="rId2"/>
    <sheet name="merchant_master" sheetId="5" r:id="rId3"/>
  </sheets>
  <definedNames>
    <definedName name="_xlnm._FilterDatabase" localSheetId="0" hidden="1">transactions_raw!$A$1:$V$31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<sst xmlns="http://schemas.openxmlformats.org/spreadsheetml/2006/main" count="291" uniqueCount="134">
  <si>
    <t>transaction_id</t>
  </si>
  <si>
    <t>transaction_date_clean</t>
  </si>
  <si>
    <t>transaction_date</t>
  </si>
  <si>
    <t>account_manager</t>
  </si>
  <si>
    <t>merchant_name_clean</t>
  </si>
  <si>
    <t>merchant_name</t>
  </si>
  <si>
    <t>merchant_id</t>
  </si>
  <si>
    <t>merchant_category</t>
  </si>
  <si>
    <t>default_region</t>
  </si>
  <si>
    <t>high_value_flag</t>
  </si>
  <si>
    <t>raw_amount_clean</t>
  </si>
  <si>
    <t>raw_amount</t>
  </si>
  <si>
    <t>currency</t>
  </si>
  <si>
    <t>status_clean</t>
  </si>
  <si>
    <t>status</t>
  </si>
  <si>
    <t>high_risk_flag</t>
  </si>
  <si>
    <t>risk_score_clean</t>
  </si>
  <si>
    <t>risk_score</t>
  </si>
  <si>
    <t>gateway_region_clean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</si>
  <si>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</si>
  <si>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</si>
  <si>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</si>
  <si>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</si>
  <si>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</si>
  <si>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</si>
  <si>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</si>
  <si>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</si>
  <si>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</si>
  <si>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</si>
  <si>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</si>
  <si>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</si>
  <si>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</si>
  <si>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</si>
  <si>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</si>
  <si>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</si>
  <si>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</si>
  <si>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</si>
  <si>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</si>
  <si>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</si>
  <si>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</si>
  <si>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</si>
  <si>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</si>
  <si>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</si>
  <si>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</si>
  <si>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</si>
  <si>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</si>
  <si>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</si>
  <si>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</si>
  <si>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</si>
  <si>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</si>
  <si>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</si>
  <si>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</si>
  <si>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</si>
  <si>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</si>
  <si>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</si>
  <si>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</si>
  <si>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</si>
  <si>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</si>
  <si>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</si>
  <si>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</si>
  <si>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</si>
  <si>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</si>
  <si>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</si>
  <si>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</si>
  <si>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</si>
  <si>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</si>
  <si>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</si>
  <si>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</si>
  <si>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</si>
  <si>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</si>
  <si>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</si>
  <si>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</si>
  <si>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</si>
  <si>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</si>
  <si>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</si>
  <si>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</si>
  <si>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</si>
  <si>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</si>
  <si>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</si>
  <si>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</si>
  <si>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</si>
  <si>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</si>
  <si>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</si>
  <si>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</si>
  <si>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</si>
  <si>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</si>
  <si>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</si>
  <si>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</si>
  <si>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</si>
  <si>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</si>
  <si>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 xml:space="preserve"> beta stores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</si>
  <si>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</si>
  <si>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</si>
  <si>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</si>
  <si>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</si>
  <si>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</si>
  <si>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</si>
  <si>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</si>
  <si>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</si>
  <si>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</si>
  <si>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</si>
  <si>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</si>
  <si>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</si>
  <si>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</si>
  <si>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</si>
  <si>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</si>
  <si>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</si>
  <si>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</si>
  <si>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</si>
  <si>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</si>
  <si>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</si>
  <si>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</si>
  <si>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</si>
  <si>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</si>
  <si>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</si>
  <si>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</si>
  <si>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</si>
  <si>
    <t>rate_date</t>
  </si>
  <si>
    <t>usd_rate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</si>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</sst>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"/>
  <sheetViews>
    <sheetView tabSelected="1" zoomScaleSheetLayoutView="60" topLeftCell="K1" workbookViewId="0">
      <selection activeCell="P2" sqref="P2:P31"/>
    </sheetView>
  </sheetViews>
  <sheetFormatPr defaultColWidth="9.81818181818182" defaultRowHeight="14.5"/>
  <cols>
    <col min="1" max="1" width="15.6363636363636" customWidth="1"/>
    <col min="2" max="2" width="22.1818181818182" customWidth="1"/>
    <col min="3" max="4" width="18.7272727272727" customWidth="1"/>
    <col min="5" max="5" width="22.8181818181818" customWidth="1"/>
    <col min="6" max="6" width="17.7272727272727" customWidth="1"/>
    <col min="7" max="11" width="19.1818181818182" customWidth="1"/>
    <col min="12" max="12" width="15.2727272727273" customWidth="1"/>
    <col min="13" max="14" width="18" customWidth="1"/>
    <col min="15" max="17" width="19.9090909090909" customWidth="1"/>
    <col min="18" max="18" width="12.6363636363636" customWidth="1"/>
    <col min="19" max="19" width="20.9090909090909" customWidth="1"/>
    <col min="20" max="20" width="21.4545454545455" customWidth="1"/>
    <col min="22" max="22" width="16.090909090909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tr">
        <f>TEXT(C2,"dd-mm-yyyy")</f>
        <v>01-03-2026</v>
      </c>
      <c r="C2" s="3">
        <v>46082</v>
      </c>
      <c r="D2" s="3" t="str">
        <f>VLOOKUP(E2,merchant_master!$B$2:$E$6,2,FALSE)</f>
        <v>Aisha Khan</v>
      </c>
      <c r="E2" s="3" t="str">
        <f>PROPER(TRIM(F2))</f>
        <v>Alpha Mart</v>
      </c>
      <c r="F2" t="s">
        <v>23</v>
      </c>
      <c r="G2" t="str" cm="1">
        <f t="array" ref="G2">INDEX(merchant_master!$A$2:$A$6,MATCH(E2,merchant_master!$B$2:$B$6,0))</f>
        <v>M001</v>
      </c>
      <c r="H2" t="str">
        <f>VLOOKUP(E2,merchant_master!$B$2:$E$6,3,FALSE)</f>
        <v>Grocery</v>
      </c>
      <c r="I2" t="str">
        <f>VLOOKUP(E2,merchant_master!$B$2:$E$6,4,FALSE)</f>
        <v>APAC</v>
      </c>
      <c r="J2">
        <f>IF(OR(AND(S2="APAC",K2&gt;5000),AND(S2="EU",K2&gt;6000),AND(S2="US",K2&gt;7000)),1,0)</f>
        <v>0</v>
      </c>
      <c r="K2">
        <f>L2*VLOOKUP(M2,exchange_rates!$B$2:$C$4,2,FALSE)</f>
        <v>4998</v>
      </c>
      <c r="L2">
        <v>420000</v>
      </c>
      <c r="M2" t="s">
        <v>24</v>
      </c>
      <c r="N2" t="str">
        <f>PROPER(TRIM(O2))</f>
        <v>Captured</v>
      </c>
      <c r="O2" t="s">
        <v>25</v>
      </c>
      <c r="P2">
        <f>IF(OR(Q2&gt;=70,ISNUMBER(SEARCH("chargeback",N2))),1,0)</f>
        <v>0</v>
      </c>
      <c r="Q2">
        <f>IF(TRIM(R2)="","INVALID_OR_MISSING",VALUE(SUBSTITUTE(SUBSTITUTE(SUBSTITUTE(R2,"score:",""),"risk-",""),"risk:","")))</f>
        <v>62</v>
      </c>
      <c r="R2" t="s">
        <v>26</v>
      </c>
      <c r="S2" t="str">
        <f>IF(TRIM(T2)="","INVALID_OR_MISSING",UPPER(TRIM(T2)))</f>
        <v>APAC</v>
      </c>
      <c r="T2" t="s">
        <v>27</v>
      </c>
      <c r="U2" t="s">
        <v>28</v>
      </c>
      <c r="V2" t="s">
        <v>29</v>
      </c>
    </row>
    <row r="3" spans="1:22">
      <c r="A3" t="s">
        <v>30</v>
      </c>
      <c r="B3" t="str">
        <f t="shared" ref="B3:B31" si="0">TEXT(C3,"dd-mm-yyyy")</f>
        <v>01-03-2026</v>
      </c>
      <c r="C3" s="3">
        <v>46082</v>
      </c>
      <c r="D3" s="3" t="str">
        <f>VLOOKUP(E3,merchant_master!$B$2:$E$6,2,FALSE)</f>
        <v>Aisha Khan</v>
      </c>
      <c r="E3" s="3" t="str">
        <f t="shared" ref="E3:E31" si="1">PROPER(TRIM(F3))</f>
        <v>Alpha Mart</v>
      </c>
      <c r="F3" t="s">
        <v>31</v>
      </c>
      <c r="G3" t="str" cm="1">
        <f t="array" ref="G3">INDEX(merchant_master!$A$2:$A$6,MATCH(E3,merchant_master!$B$2:$B$6,0))</f>
        <v>M001</v>
      </c>
      <c r="H3" t="str">
        <f>VLOOKUP(E3,merchant_master!$B$2:$E$6,3,FALSE)</f>
        <v>Grocery</v>
      </c>
      <c r="I3" t="str">
        <f>VLOOKUP(E3,merchant_master!$B$2:$E$6,4,FALSE)</f>
        <v>APAC</v>
      </c>
      <c r="J3">
        <f t="shared" ref="J3:J31" si="2">IF(OR(AND(S3="APAC",K3&gt;5000),AND(S3="EU",K3&gt;6000),AND(S3="US",K3&gt;7000)),1,0)</f>
        <v>0</v>
      </c>
      <c r="K3">
        <f>L3*VLOOKUP(M3,exchange_rates!$B$2:$C$4,2,FALSE)</f>
        <v>2499</v>
      </c>
      <c r="L3">
        <v>210000</v>
      </c>
      <c r="M3" t="s">
        <v>24</v>
      </c>
      <c r="N3" t="str">
        <f t="shared" ref="N3:N31" si="3">PROPER(TRIM(O3))</f>
        <v>Captured</v>
      </c>
      <c r="O3" t="s">
        <v>32</v>
      </c>
      <c r="P3">
        <f t="shared" ref="P3:P31" si="4">IF(OR(Q3&gt;=70,ISNUMBER(SEARCH("chargeback",N3))),1,0)</f>
        <v>0</v>
      </c>
      <c r="Q3">
        <f t="shared" ref="Q3:Q31" si="5">IF(TRIM(R3)="","INVALID_OR_MISSING",VALUE(SUBSTITUTE(SUBSTITUTE(SUBSTITUTE(R3,"score:",""),"risk-",""),"risk:","")))</f>
        <v>55</v>
      </c>
      <c r="R3">
        <v>55</v>
      </c>
      <c r="S3" t="str">
        <f t="shared" ref="S3:S31" si="6">IF(TRIM(T3)="","INVALID_OR_MISSING",UPPER(TRIM(T3)))</f>
        <v>INVALID_OR_MISSING</v>
      </c>
      <c r="U3" t="s">
        <v>33</v>
      </c>
      <c r="V3" t="s">
        <v>34</v>
      </c>
    </row>
    <row r="4" spans="1:22">
      <c r="A4" t="s">
        <v>35</v>
      </c>
      <c r="B4" t="str">
        <f t="shared" si="0"/>
        <v>01-03-2026</v>
      </c>
      <c r="C4" s="3">
        <v>46082</v>
      </c>
      <c r="D4" s="3" t="str">
        <f>VLOOKUP(E4,merchant_master!$B$2:$E$6,2,FALSE)</f>
        <v>Rohan Mehta</v>
      </c>
      <c r="E4" s="3" t="str">
        <f t="shared" si="1"/>
        <v>Beta Stores</v>
      </c>
      <c r="F4" t="s">
        <v>36</v>
      </c>
      <c r="G4" t="str" cm="1">
        <f t="array" ref="G4">INDEX(merchant_master!$A$2:$A$6,MATCH(E4,merchant_master!$B$2:$B$6,0))</f>
        <v>M002</v>
      </c>
      <c r="H4" t="str">
        <f>VLOOKUP(E4,merchant_master!$B$2:$E$6,3,FALSE)</f>
        <v>Electronics</v>
      </c>
      <c r="I4" t="str">
        <f>VLOOKUP(E4,merchant_master!$B$2:$E$6,4,FALSE)</f>
        <v>APAC</v>
      </c>
      <c r="J4">
        <f t="shared" si="2"/>
        <v>1</v>
      </c>
      <c r="K4">
        <f>L4*VLOOKUP(M4,exchange_rates!$B$2:$C$4,2,FALSE)</f>
        <v>6069</v>
      </c>
      <c r="L4">
        <v>510000</v>
      </c>
      <c r="M4" t="s">
        <v>24</v>
      </c>
      <c r="N4" t="str">
        <f t="shared" si="3"/>
        <v>Captured</v>
      </c>
      <c r="O4" t="s">
        <v>37</v>
      </c>
      <c r="P4">
        <f t="shared" si="4"/>
        <v>1</v>
      </c>
      <c r="Q4">
        <f t="shared" si="5"/>
        <v>71</v>
      </c>
      <c r="R4">
        <v>71</v>
      </c>
      <c r="S4" t="str">
        <f t="shared" si="6"/>
        <v>APAC</v>
      </c>
      <c r="T4" t="s">
        <v>38</v>
      </c>
      <c r="U4" t="s">
        <v>39</v>
      </c>
      <c r="V4" t="s">
        <v>40</v>
      </c>
    </row>
    <row r="5" spans="1:22">
      <c r="A5" t="s">
        <v>41</v>
      </c>
      <c r="B5" t="str">
        <f t="shared" si="0"/>
        <v>02-03-2026</v>
      </c>
      <c r="C5" s="3">
        <v>46083</v>
      </c>
      <c r="D5" s="3" t="str">
        <f>VLOOKUP(E5,merchant_master!$B$2:$E$6,2,FALSE)</f>
        <v>Rohan Mehta</v>
      </c>
      <c r="E5" s="3" t="str">
        <f t="shared" si="1"/>
        <v>Beta Stores</v>
      </c>
      <c r="F5" t="s">
        <v>42</v>
      </c>
      <c r="G5" t="str" cm="1">
        <f t="array" ref="G5">INDEX(merchant_master!$A$2:$A$6,MATCH(E5,merchant_master!$B$2:$B$6,0))</f>
        <v>M002</v>
      </c>
      <c r="H5" t="str">
        <f>VLOOKUP(E5,merchant_master!$B$2:$E$6,3,FALSE)</f>
        <v>Electronics</v>
      </c>
      <c r="I5" t="str">
        <f>VLOOKUP(E5,merchant_master!$B$2:$E$6,4,FALSE)</f>
        <v>APAC</v>
      </c>
      <c r="J5">
        <f t="shared" si="2"/>
        <v>0</v>
      </c>
      <c r="K5">
        <f>L5*VLOOKUP(M5,exchange_rates!$B$2:$C$4,2,FALSE)</f>
        <v>1904</v>
      </c>
      <c r="L5">
        <v>160000</v>
      </c>
      <c r="M5" t="s">
        <v>24</v>
      </c>
      <c r="N5" t="str">
        <f t="shared" si="3"/>
        <v>Failed E05 Timeout</v>
      </c>
      <c r="O5" t="s">
        <v>43</v>
      </c>
      <c r="P5">
        <f t="shared" si="4"/>
        <v>0</v>
      </c>
      <c r="Q5">
        <f t="shared" si="5"/>
        <v>68</v>
      </c>
      <c r="R5">
        <v>68</v>
      </c>
      <c r="S5" t="str">
        <f t="shared" si="6"/>
        <v>APAC</v>
      </c>
      <c r="T5" t="s">
        <v>44</v>
      </c>
      <c r="U5" t="s">
        <v>45</v>
      </c>
      <c r="V5" t="s">
        <v>34</v>
      </c>
    </row>
    <row r="6" spans="1:22">
      <c r="A6" t="s">
        <v>46</v>
      </c>
      <c r="B6" t="str">
        <f t="shared" si="0"/>
        <v>02-03-2026</v>
      </c>
      <c r="C6" s="3">
        <v>46083</v>
      </c>
      <c r="D6" s="3" t="str">
        <f>VLOOKUP(E6,merchant_master!$B$2:$E$6,2,FALSE)</f>
        <v>Aisha Khan</v>
      </c>
      <c r="E6" s="3" t="str">
        <f t="shared" si="1"/>
        <v>Alpha Mart</v>
      </c>
      <c r="F6" t="s">
        <v>47</v>
      </c>
      <c r="G6" t="str" cm="1">
        <f t="array" ref="G6">INDEX(merchant_master!$A$2:$A$6,MATCH(E6,merchant_master!$B$2:$B$6,0))</f>
        <v>M001</v>
      </c>
      <c r="H6" t="str">
        <f>VLOOKUP(E6,merchant_master!$B$2:$E$6,3,FALSE)</f>
        <v>Grocery</v>
      </c>
      <c r="I6" t="str">
        <f>VLOOKUP(E6,merchant_master!$B$2:$E$6,4,FALSE)</f>
        <v>APAC</v>
      </c>
      <c r="J6">
        <f t="shared" si="2"/>
        <v>0</v>
      </c>
      <c r="K6">
        <f>L6*VLOOKUP(M6,exchange_rates!$B$2:$C$4,2,FALSE)</f>
        <v>4641</v>
      </c>
      <c r="L6">
        <v>390000</v>
      </c>
      <c r="M6" t="s">
        <v>24</v>
      </c>
      <c r="N6" t="str">
        <f t="shared" si="3"/>
        <v>Captured</v>
      </c>
      <c r="O6" t="s">
        <v>37</v>
      </c>
      <c r="P6">
        <f t="shared" si="4"/>
        <v>0</v>
      </c>
      <c r="Q6">
        <f t="shared" si="5"/>
        <v>58</v>
      </c>
      <c r="R6">
        <v>58</v>
      </c>
      <c r="S6" t="str">
        <f t="shared" si="6"/>
        <v>INVALID_OR_MISSING</v>
      </c>
      <c r="U6" t="s">
        <v>28</v>
      </c>
      <c r="V6" t="s">
        <v>29</v>
      </c>
    </row>
    <row r="7" spans="1:22">
      <c r="A7" t="s">
        <v>48</v>
      </c>
      <c r="B7" t="str">
        <f t="shared" si="0"/>
        <v>02-03-2026</v>
      </c>
      <c r="C7" s="3">
        <v>46083</v>
      </c>
      <c r="D7" s="3" t="str">
        <f>VLOOKUP(E7,merchant_master!$B$2:$E$6,2,FALSE)</f>
        <v>Rohan Mehta</v>
      </c>
      <c r="E7" s="3" t="str">
        <f t="shared" si="1"/>
        <v>Beta Stores</v>
      </c>
      <c r="F7" t="s">
        <v>42</v>
      </c>
      <c r="G7" t="str" cm="1">
        <f t="array" ref="G7">INDEX(merchant_master!$A$2:$A$6,MATCH(E7,merchant_master!$B$2:$B$6,0))</f>
        <v>M002</v>
      </c>
      <c r="H7" t="str">
        <f>VLOOKUP(E7,merchant_master!$B$2:$E$6,3,FALSE)</f>
        <v>Electronics</v>
      </c>
      <c r="I7" t="str">
        <f>VLOOKUP(E7,merchant_master!$B$2:$E$6,4,FALSE)</f>
        <v>APAC</v>
      </c>
      <c r="J7">
        <f t="shared" si="2"/>
        <v>0</v>
      </c>
      <c r="K7">
        <f>L7*VLOOKUP(M7,exchange_rates!$B$2:$C$4,2,FALSE)</f>
        <v>3272.5</v>
      </c>
      <c r="L7">
        <v>275000</v>
      </c>
      <c r="M7" t="s">
        <v>24</v>
      </c>
      <c r="N7" t="str">
        <f t="shared" si="3"/>
        <v>Captured</v>
      </c>
      <c r="O7" t="s">
        <v>32</v>
      </c>
      <c r="P7">
        <f t="shared" si="4"/>
        <v>0</v>
      </c>
      <c r="Q7">
        <f t="shared" si="5"/>
        <v>64</v>
      </c>
      <c r="R7" t="s">
        <v>49</v>
      </c>
      <c r="S7" t="str">
        <f t="shared" si="6"/>
        <v>INVALID_OR_MISSING</v>
      </c>
      <c r="U7" t="s">
        <v>50</v>
      </c>
      <c r="V7" t="s">
        <v>51</v>
      </c>
    </row>
    <row r="8" spans="1:22">
      <c r="A8" t="s">
        <v>52</v>
      </c>
      <c r="B8" t="str">
        <f t="shared" si="0"/>
        <v>02-03-2026</v>
      </c>
      <c r="C8" s="3">
        <v>46083</v>
      </c>
      <c r="D8" s="3" t="str">
        <f>VLOOKUP(E8,merchant_master!$B$2:$E$6,2,FALSE)</f>
        <v>Aisha Khan</v>
      </c>
      <c r="E8" s="3" t="str">
        <f t="shared" si="1"/>
        <v>Alpha Mart</v>
      </c>
      <c r="F8" t="s">
        <v>53</v>
      </c>
      <c r="G8" t="str" cm="1">
        <f t="array" ref="G8">INDEX(merchant_master!$A$2:$A$6,MATCH(E8,merchant_master!$B$2:$B$6,0))</f>
        <v>M001</v>
      </c>
      <c r="H8" t="str">
        <f>VLOOKUP(E8,merchant_master!$B$2:$E$6,3,FALSE)</f>
        <v>Grocery</v>
      </c>
      <c r="I8" t="str">
        <f>VLOOKUP(E8,merchant_master!$B$2:$E$6,4,FALSE)</f>
        <v>APAC</v>
      </c>
      <c r="J8">
        <f t="shared" si="2"/>
        <v>1</v>
      </c>
      <c r="K8">
        <f>L8*VLOOKUP(M8,exchange_rates!$B$2:$C$4,2,FALSE)</f>
        <v>5355</v>
      </c>
      <c r="L8">
        <v>450000</v>
      </c>
      <c r="M8" t="s">
        <v>24</v>
      </c>
      <c r="N8" t="str">
        <f t="shared" si="3"/>
        <v>Chargeback</v>
      </c>
      <c r="O8" t="s">
        <v>54</v>
      </c>
      <c r="P8">
        <f t="shared" si="4"/>
        <v>1</v>
      </c>
      <c r="Q8">
        <f t="shared" si="5"/>
        <v>83</v>
      </c>
      <c r="R8" t="s">
        <v>55</v>
      </c>
      <c r="S8" t="str">
        <f t="shared" si="6"/>
        <v>APAC</v>
      </c>
      <c r="T8" t="s">
        <v>38</v>
      </c>
      <c r="U8" t="s">
        <v>56</v>
      </c>
      <c r="V8" t="s">
        <v>34</v>
      </c>
    </row>
    <row r="9" spans="1:22">
      <c r="A9" t="s">
        <v>57</v>
      </c>
      <c r="B9" t="str">
        <f t="shared" si="0"/>
        <v>03-03-2026</v>
      </c>
      <c r="C9" s="3">
        <v>46084</v>
      </c>
      <c r="D9" s="3" t="str">
        <f>VLOOKUP(E9,merchant_master!$B$2:$E$6,2,FALSE)</f>
        <v>Rohan Mehta</v>
      </c>
      <c r="E9" s="3" t="str">
        <f t="shared" si="1"/>
        <v>Beta Stores</v>
      </c>
      <c r="F9" t="s">
        <v>36</v>
      </c>
      <c r="G9" t="str" cm="1">
        <f t="array" ref="G9">INDEX(merchant_master!$A$2:$A$6,MATCH(E9,merchant_master!$B$2:$B$6,0))</f>
        <v>M002</v>
      </c>
      <c r="H9" t="str">
        <f>VLOOKUP(E9,merchant_master!$B$2:$E$6,3,FALSE)</f>
        <v>Electronics</v>
      </c>
      <c r="I9" t="str">
        <f>VLOOKUP(E9,merchant_master!$B$2:$E$6,4,FALSE)</f>
        <v>APAC</v>
      </c>
      <c r="J9">
        <f t="shared" si="2"/>
        <v>0</v>
      </c>
      <c r="K9">
        <f>L9*VLOOKUP(M9,exchange_rates!$B$2:$C$4,2,FALSE)</f>
        <v>4046</v>
      </c>
      <c r="L9">
        <v>340000</v>
      </c>
      <c r="M9" t="s">
        <v>24</v>
      </c>
      <c r="N9" t="str">
        <f t="shared" si="3"/>
        <v>Captured</v>
      </c>
      <c r="O9" t="s">
        <v>32</v>
      </c>
      <c r="P9">
        <f t="shared" si="4"/>
        <v>0</v>
      </c>
      <c r="Q9">
        <f t="shared" si="5"/>
        <v>59</v>
      </c>
      <c r="R9">
        <v>59</v>
      </c>
      <c r="S9" t="str">
        <f t="shared" si="6"/>
        <v>INVALID_OR_MISSING</v>
      </c>
      <c r="U9" t="s">
        <v>58</v>
      </c>
      <c r="V9" t="s">
        <v>29</v>
      </c>
    </row>
    <row r="10" spans="1:22">
      <c r="A10" t="s">
        <v>59</v>
      </c>
      <c r="B10" t="str">
        <f t="shared" si="0"/>
        <v>03-03-2026</v>
      </c>
      <c r="C10" s="3">
        <v>46084</v>
      </c>
      <c r="D10" s="3" t="str">
        <f>VLOOKUP(E10,merchant_master!$B$2:$E$6,2,FALSE)</f>
        <v>Aisha Khan</v>
      </c>
      <c r="E10" s="3" t="str">
        <f t="shared" si="1"/>
        <v>Alpha Mart</v>
      </c>
      <c r="F10" t="s">
        <v>47</v>
      </c>
      <c r="G10" t="str" cm="1">
        <f t="array" ref="G10">INDEX(merchant_master!$A$2:$A$6,MATCH(E10,merchant_master!$B$2:$B$6,0))</f>
        <v>M001</v>
      </c>
      <c r="H10" t="str">
        <f>VLOOKUP(E10,merchant_master!$B$2:$E$6,3,FALSE)</f>
        <v>Grocery</v>
      </c>
      <c r="I10" t="str">
        <f>VLOOKUP(E10,merchant_master!$B$2:$E$6,4,FALSE)</f>
        <v>APAC</v>
      </c>
      <c r="J10">
        <f t="shared" si="2"/>
        <v>0</v>
      </c>
      <c r="K10">
        <f>L10*VLOOKUP(M10,exchange_rates!$B$2:$C$4,2,FALSE)</f>
        <v>1487.5</v>
      </c>
      <c r="L10">
        <v>125000</v>
      </c>
      <c r="M10" t="s">
        <v>24</v>
      </c>
      <c r="N10" t="str">
        <f t="shared" si="3"/>
        <v>Captured</v>
      </c>
      <c r="O10" t="s">
        <v>25</v>
      </c>
      <c r="P10">
        <f t="shared" si="4"/>
        <v>0</v>
      </c>
      <c r="Q10">
        <f t="shared" si="5"/>
        <v>46</v>
      </c>
      <c r="R10">
        <v>46</v>
      </c>
      <c r="S10" t="str">
        <f t="shared" si="6"/>
        <v>APAC</v>
      </c>
      <c r="T10" t="s">
        <v>27</v>
      </c>
      <c r="U10" t="s">
        <v>33</v>
      </c>
      <c r="V10" t="s">
        <v>51</v>
      </c>
    </row>
    <row r="11" spans="1:22">
      <c r="A11" t="s">
        <v>60</v>
      </c>
      <c r="B11" t="str">
        <f t="shared" si="0"/>
        <v>03-03-2026</v>
      </c>
      <c r="C11" s="3">
        <v>46084</v>
      </c>
      <c r="D11" s="3" t="str">
        <f>VLOOKUP(E11,merchant_master!$B$2:$E$6,2,FALSE)</f>
        <v>Rohan Mehta</v>
      </c>
      <c r="E11" s="3" t="str">
        <f t="shared" si="1"/>
        <v>Beta Stores</v>
      </c>
      <c r="F11" t="s">
        <v>61</v>
      </c>
      <c r="G11" t="str" cm="1">
        <f t="array" ref="G11">INDEX(merchant_master!$A$2:$A$6,MATCH(E11,merchant_master!$B$2:$B$6,0))</f>
        <v>M002</v>
      </c>
      <c r="H11" t="str">
        <f>VLOOKUP(E11,merchant_master!$B$2:$E$6,3,FALSE)</f>
        <v>Electronics</v>
      </c>
      <c r="I11" t="str">
        <f>VLOOKUP(E11,merchant_master!$B$2:$E$6,4,FALSE)</f>
        <v>APAC</v>
      </c>
      <c r="J11">
        <f t="shared" si="2"/>
        <v>0</v>
      </c>
      <c r="K11">
        <f>L11*VLOOKUP(M11,exchange_rates!$B$2:$C$4,2,FALSE)</f>
        <v>7259</v>
      </c>
      <c r="L11">
        <v>610000</v>
      </c>
      <c r="M11" t="s">
        <v>24</v>
      </c>
      <c r="N11" t="str">
        <f t="shared" si="3"/>
        <v>Captured</v>
      </c>
      <c r="O11" t="s">
        <v>25</v>
      </c>
      <c r="P11">
        <f t="shared" si="4"/>
        <v>1</v>
      </c>
      <c r="Q11">
        <f t="shared" si="5"/>
        <v>77</v>
      </c>
      <c r="R11" t="s">
        <v>62</v>
      </c>
      <c r="S11" t="str">
        <f t="shared" si="6"/>
        <v>INVALID_OR_MISSING</v>
      </c>
      <c r="U11" t="s">
        <v>39</v>
      </c>
      <c r="V11" t="s">
        <v>34</v>
      </c>
    </row>
    <row r="12" spans="1:22">
      <c r="A12" t="s">
        <v>63</v>
      </c>
      <c r="B12" t="str">
        <f t="shared" si="0"/>
        <v>03-03-2026</v>
      </c>
      <c r="C12" s="3">
        <v>46084</v>
      </c>
      <c r="D12" s="3" t="str">
        <f>VLOOKUP(E12,merchant_master!$B$2:$E$6,2,FALSE)</f>
        <v>Aisha Khan</v>
      </c>
      <c r="E12" s="3" t="str">
        <f t="shared" si="1"/>
        <v>Alpha Mart</v>
      </c>
      <c r="F12" t="s">
        <v>53</v>
      </c>
      <c r="G12" t="str" cm="1">
        <f t="array" ref="G12">INDEX(merchant_master!$A$2:$A$6,MATCH(E12,merchant_master!$B$2:$B$6,0))</f>
        <v>M001</v>
      </c>
      <c r="H12" t="str">
        <f>VLOOKUP(E12,merchant_master!$B$2:$E$6,3,FALSE)</f>
        <v>Grocery</v>
      </c>
      <c r="I12" t="str">
        <f>VLOOKUP(E12,merchant_master!$B$2:$E$6,4,FALSE)</f>
        <v>APAC</v>
      </c>
      <c r="J12">
        <f t="shared" si="2"/>
        <v>0</v>
      </c>
      <c r="K12">
        <f>L12*VLOOKUP(M12,exchange_rates!$B$2:$C$4,2,FALSE)</f>
        <v>2320.5</v>
      </c>
      <c r="L12">
        <v>195000</v>
      </c>
      <c r="M12" t="s">
        <v>24</v>
      </c>
      <c r="N12" t="str">
        <f t="shared" si="3"/>
        <v>Failed E05 Timeout</v>
      </c>
      <c r="O12" t="s">
        <v>64</v>
      </c>
      <c r="P12">
        <f t="shared" si="4"/>
        <v>1</v>
      </c>
      <c r="Q12" t="str">
        <f t="shared" si="5"/>
        <v>INVALID_OR_MISSING</v>
      </c>
      <c r="S12" t="str">
        <f t="shared" si="6"/>
        <v>INVALID_OR_MISSING</v>
      </c>
      <c r="U12" t="s">
        <v>65</v>
      </c>
      <c r="V12" t="s">
        <v>29</v>
      </c>
    </row>
    <row r="13" spans="1:22">
      <c r="A13" t="s">
        <v>66</v>
      </c>
      <c r="B13" t="str">
        <f t="shared" si="0"/>
        <v>04-03-2026</v>
      </c>
      <c r="C13" s="3">
        <v>46085</v>
      </c>
      <c r="D13" s="3" t="str">
        <f>VLOOKUP(E13,merchant_master!$B$2:$E$6,2,FALSE)</f>
        <v>Rohan Mehta</v>
      </c>
      <c r="E13" s="3" t="str">
        <f t="shared" si="1"/>
        <v>Beta Stores</v>
      </c>
      <c r="F13" t="s">
        <v>42</v>
      </c>
      <c r="G13" t="str" cm="1">
        <f t="array" ref="G13">INDEX(merchant_master!$A$2:$A$6,MATCH(E13,merchant_master!$B$2:$B$6,0))</f>
        <v>M002</v>
      </c>
      <c r="H13" t="str">
        <f>VLOOKUP(E13,merchant_master!$B$2:$E$6,3,FALSE)</f>
        <v>Electronics</v>
      </c>
      <c r="I13" t="str">
        <f>VLOOKUP(E13,merchant_master!$B$2:$E$6,4,FALSE)</f>
        <v>APAC</v>
      </c>
      <c r="J13">
        <f t="shared" si="2"/>
        <v>0</v>
      </c>
      <c r="K13">
        <f>L13*VLOOKUP(M13,exchange_rates!$B$2:$C$4,2,FALSE)</f>
        <v>2975</v>
      </c>
      <c r="L13">
        <v>250000</v>
      </c>
      <c r="M13" t="s">
        <v>24</v>
      </c>
      <c r="N13" t="str">
        <f t="shared" si="3"/>
        <v>Captured</v>
      </c>
      <c r="O13" t="s">
        <v>67</v>
      </c>
      <c r="P13">
        <f t="shared" si="4"/>
        <v>0</v>
      </c>
      <c r="Q13">
        <f t="shared" si="5"/>
        <v>61</v>
      </c>
      <c r="R13" t="s">
        <v>68</v>
      </c>
      <c r="S13" t="str">
        <f t="shared" si="6"/>
        <v>APAC</v>
      </c>
      <c r="T13" t="s">
        <v>38</v>
      </c>
      <c r="U13" t="s">
        <v>69</v>
      </c>
      <c r="V13" t="s">
        <v>34</v>
      </c>
    </row>
    <row r="14" spans="1:22">
      <c r="A14" t="s">
        <v>70</v>
      </c>
      <c r="B14" t="str">
        <f t="shared" si="0"/>
        <v>04-03-2026</v>
      </c>
      <c r="C14" s="3">
        <v>46085</v>
      </c>
      <c r="D14" s="3" t="str">
        <f>VLOOKUP(E14,merchant_master!$B$2:$E$6,2,FALSE)</f>
        <v>Aisha Khan</v>
      </c>
      <c r="E14" s="3" t="str">
        <f t="shared" si="1"/>
        <v>Alpha Mart</v>
      </c>
      <c r="F14" t="s">
        <v>23</v>
      </c>
      <c r="G14" t="str" cm="1">
        <f t="array" ref="G14">INDEX(merchant_master!$A$2:$A$6,MATCH(E14,merchant_master!$B$2:$B$6,0))</f>
        <v>M001</v>
      </c>
      <c r="H14" t="str">
        <f>VLOOKUP(E14,merchant_master!$B$2:$E$6,3,FALSE)</f>
        <v>Grocery</v>
      </c>
      <c r="I14" t="str">
        <f>VLOOKUP(E14,merchant_master!$B$2:$E$6,4,FALSE)</f>
        <v>APAC</v>
      </c>
      <c r="J14">
        <f t="shared" si="2"/>
        <v>0</v>
      </c>
      <c r="K14">
        <f>L14*VLOOKUP(M14,exchange_rates!$B$2:$C$4,2,FALSE)</f>
        <v>3689</v>
      </c>
      <c r="L14">
        <v>310000</v>
      </c>
      <c r="M14" t="s">
        <v>24</v>
      </c>
      <c r="N14" t="str">
        <f t="shared" si="3"/>
        <v>Captured</v>
      </c>
      <c r="O14" t="s">
        <v>67</v>
      </c>
      <c r="P14">
        <f t="shared" si="4"/>
        <v>0</v>
      </c>
      <c r="Q14">
        <f t="shared" si="5"/>
        <v>54</v>
      </c>
      <c r="R14" t="s">
        <v>71</v>
      </c>
      <c r="S14" t="str">
        <f t="shared" si="6"/>
        <v>APAC</v>
      </c>
      <c r="T14" t="s">
        <v>27</v>
      </c>
      <c r="U14" t="s">
        <v>72</v>
      </c>
      <c r="V14" t="s">
        <v>29</v>
      </c>
    </row>
    <row r="15" spans="1:22">
      <c r="A15" t="s">
        <v>73</v>
      </c>
      <c r="B15" t="str">
        <f t="shared" si="0"/>
        <v>04-03-2026</v>
      </c>
      <c r="C15" s="3">
        <v>46085</v>
      </c>
      <c r="D15" s="3" t="str">
        <f>VLOOKUP(E15,merchant_master!$B$2:$E$6,2,FALSE)</f>
        <v>Rohan Mehta</v>
      </c>
      <c r="E15" s="3" t="str">
        <f t="shared" si="1"/>
        <v>Beta Stores</v>
      </c>
      <c r="F15" t="s">
        <v>42</v>
      </c>
      <c r="G15" t="str" cm="1">
        <f t="array" ref="G15">INDEX(merchant_master!$A$2:$A$6,MATCH(E15,merchant_master!$B$2:$B$6,0))</f>
        <v>M002</v>
      </c>
      <c r="H15" t="str">
        <f>VLOOKUP(E15,merchant_master!$B$2:$E$6,3,FALSE)</f>
        <v>Electronics</v>
      </c>
      <c r="I15" t="str">
        <f>VLOOKUP(E15,merchant_master!$B$2:$E$6,4,FALSE)</f>
        <v>APAC</v>
      </c>
      <c r="J15">
        <f t="shared" si="2"/>
        <v>1</v>
      </c>
      <c r="K15">
        <f>L15*VLOOKUP(M15,exchange_rates!$B$2:$C$4,2,FALSE)</f>
        <v>5593</v>
      </c>
      <c r="L15">
        <v>470000</v>
      </c>
      <c r="M15" t="s">
        <v>24</v>
      </c>
      <c r="N15" t="str">
        <f t="shared" si="3"/>
        <v>Captured</v>
      </c>
      <c r="O15" t="s">
        <v>67</v>
      </c>
      <c r="P15">
        <f t="shared" si="4"/>
        <v>1</v>
      </c>
      <c r="Q15">
        <f t="shared" si="5"/>
        <v>73</v>
      </c>
      <c r="R15" t="s">
        <v>74</v>
      </c>
      <c r="S15" t="str">
        <f t="shared" si="6"/>
        <v>APAC</v>
      </c>
      <c r="T15" t="s">
        <v>27</v>
      </c>
      <c r="U15" t="s">
        <v>28</v>
      </c>
      <c r="V15" t="s">
        <v>40</v>
      </c>
    </row>
    <row r="16" spans="1:22">
      <c r="A16" t="s">
        <v>75</v>
      </c>
      <c r="B16" t="str">
        <f t="shared" si="0"/>
        <v>04-03-2026</v>
      </c>
      <c r="C16" s="3">
        <v>46085</v>
      </c>
      <c r="D16" s="3" t="str">
        <f>VLOOKUP(E16,merchant_master!$B$2:$E$6,2,FALSE)</f>
        <v>Aisha Khan</v>
      </c>
      <c r="E16" s="3" t="str">
        <f t="shared" si="1"/>
        <v>Alpha Mart</v>
      </c>
      <c r="F16" t="s">
        <v>47</v>
      </c>
      <c r="G16" t="str" cm="1">
        <f t="array" ref="G16">INDEX(merchant_master!$A$2:$A$6,MATCH(E16,merchant_master!$B$2:$B$6,0))</f>
        <v>M001</v>
      </c>
      <c r="H16" t="str">
        <f>VLOOKUP(E16,merchant_master!$B$2:$E$6,3,FALSE)</f>
        <v>Grocery</v>
      </c>
      <c r="I16" t="str">
        <f>VLOOKUP(E16,merchant_master!$B$2:$E$6,4,FALSE)</f>
        <v>APAC</v>
      </c>
      <c r="J16">
        <f t="shared" si="2"/>
        <v>0</v>
      </c>
      <c r="K16">
        <f>L16*VLOOKUP(M16,exchange_rates!$B$2:$C$4,2,FALSE)</f>
        <v>1547</v>
      </c>
      <c r="L16">
        <v>130000</v>
      </c>
      <c r="M16" t="s">
        <v>24</v>
      </c>
      <c r="N16" t="str">
        <f t="shared" si="3"/>
        <v>Captured</v>
      </c>
      <c r="O16" t="s">
        <v>25</v>
      </c>
      <c r="P16">
        <f t="shared" si="4"/>
        <v>0</v>
      </c>
      <c r="Q16">
        <f t="shared" si="5"/>
        <v>52</v>
      </c>
      <c r="R16" t="s">
        <v>76</v>
      </c>
      <c r="S16" t="str">
        <f t="shared" si="6"/>
        <v>INVALID_OR_MISSING</v>
      </c>
      <c r="U16" t="s">
        <v>33</v>
      </c>
      <c r="V16" t="s">
        <v>34</v>
      </c>
    </row>
    <row r="17" spans="1:22">
      <c r="A17" t="s">
        <v>77</v>
      </c>
      <c r="B17" t="str">
        <f t="shared" si="0"/>
        <v>05-03-2026</v>
      </c>
      <c r="C17" s="3">
        <v>46086</v>
      </c>
      <c r="D17" s="3" t="str">
        <f>VLOOKUP(E17,merchant_master!$B$2:$E$6,2,FALSE)</f>
        <v>Rohan Mehta</v>
      </c>
      <c r="E17" s="3" t="str">
        <f t="shared" si="1"/>
        <v>Beta Stores</v>
      </c>
      <c r="F17" t="s">
        <v>42</v>
      </c>
      <c r="G17" t="str" cm="1">
        <f t="array" ref="G17">INDEX(merchant_master!$A$2:$A$6,MATCH(E17,merchant_master!$B$2:$B$6,0))</f>
        <v>M002</v>
      </c>
      <c r="H17" t="str">
        <f>VLOOKUP(E17,merchant_master!$B$2:$E$6,3,FALSE)</f>
        <v>Electronics</v>
      </c>
      <c r="I17" t="str">
        <f>VLOOKUP(E17,merchant_master!$B$2:$E$6,4,FALSE)</f>
        <v>APAC</v>
      </c>
      <c r="J17">
        <f t="shared" si="2"/>
        <v>0</v>
      </c>
      <c r="K17">
        <f>L17*VLOOKUP(M17,exchange_rates!$B$2:$C$4,2,FALSE)</f>
        <v>2618</v>
      </c>
      <c r="L17">
        <v>220000</v>
      </c>
      <c r="M17" t="s">
        <v>24</v>
      </c>
      <c r="N17" t="str">
        <f t="shared" si="3"/>
        <v>Failed E05 Timeout</v>
      </c>
      <c r="O17" t="s">
        <v>78</v>
      </c>
      <c r="P17">
        <f t="shared" si="4"/>
        <v>0</v>
      </c>
      <c r="Q17">
        <f t="shared" si="5"/>
        <v>69</v>
      </c>
      <c r="R17" t="s">
        <v>79</v>
      </c>
      <c r="S17" t="str">
        <f t="shared" si="6"/>
        <v>INVALID_OR_MISSING</v>
      </c>
      <c r="U17" t="s">
        <v>65</v>
      </c>
      <c r="V17" t="s">
        <v>34</v>
      </c>
    </row>
    <row r="18" spans="1:22">
      <c r="A18" t="s">
        <v>80</v>
      </c>
      <c r="B18" t="str">
        <f t="shared" si="0"/>
        <v>05-03-2026</v>
      </c>
      <c r="C18" s="3">
        <v>46086</v>
      </c>
      <c r="D18" s="3" t="str">
        <f>VLOOKUP(E18,merchant_master!$B$2:$E$6,2,FALSE)</f>
        <v>Rohan Mehta</v>
      </c>
      <c r="E18" s="3" t="str">
        <f t="shared" si="1"/>
        <v>Beta Stores</v>
      </c>
      <c r="F18" t="s">
        <v>42</v>
      </c>
      <c r="G18" t="str" cm="1">
        <f t="array" ref="G18">INDEX(merchant_master!$A$2:$A$6,MATCH(E18,merchant_master!$B$2:$B$6,0))</f>
        <v>M002</v>
      </c>
      <c r="H18" t="str">
        <f>VLOOKUP(E18,merchant_master!$B$2:$E$6,3,FALSE)</f>
        <v>Electronics</v>
      </c>
      <c r="I18" t="str">
        <f>VLOOKUP(E18,merchant_master!$B$2:$E$6,4,FALSE)</f>
        <v>APAC</v>
      </c>
      <c r="J18">
        <f t="shared" si="2"/>
        <v>0</v>
      </c>
      <c r="K18">
        <f>L18*VLOOKUP(M18,exchange_rates!$B$2:$C$4,2,FALSE)</f>
        <v>2142</v>
      </c>
      <c r="L18">
        <v>180000</v>
      </c>
      <c r="M18" t="s">
        <v>24</v>
      </c>
      <c r="N18" t="str">
        <f t="shared" si="3"/>
        <v>Failed E05 Timeout</v>
      </c>
      <c r="O18" t="s">
        <v>81</v>
      </c>
      <c r="P18">
        <f t="shared" si="4"/>
        <v>1</v>
      </c>
      <c r="Q18">
        <f t="shared" si="5"/>
        <v>72</v>
      </c>
      <c r="R18" t="s">
        <v>82</v>
      </c>
      <c r="S18" t="str">
        <f t="shared" si="6"/>
        <v>APAC</v>
      </c>
      <c r="T18" t="s">
        <v>44</v>
      </c>
      <c r="U18" t="s">
        <v>65</v>
      </c>
      <c r="V18" t="s">
        <v>34</v>
      </c>
    </row>
    <row r="19" spans="1:22">
      <c r="A19" t="s">
        <v>83</v>
      </c>
      <c r="B19" t="str">
        <f t="shared" si="0"/>
        <v>05-03-2026</v>
      </c>
      <c r="C19" s="3">
        <v>46086</v>
      </c>
      <c r="D19" s="3" t="str">
        <f>VLOOKUP(E19,merchant_master!$B$2:$E$6,2,FALSE)</f>
        <v>Rohan Mehta</v>
      </c>
      <c r="E19" s="3" t="str">
        <f t="shared" si="1"/>
        <v>Beta Stores</v>
      </c>
      <c r="F19" t="s">
        <v>36</v>
      </c>
      <c r="G19" t="str" cm="1">
        <f t="array" ref="G19">INDEX(merchant_master!$A$2:$A$6,MATCH(E19,merchant_master!$B$2:$B$6,0))</f>
        <v>M002</v>
      </c>
      <c r="H19" t="str">
        <f>VLOOKUP(E19,merchant_master!$B$2:$E$6,3,FALSE)</f>
        <v>Electronics</v>
      </c>
      <c r="I19" t="str">
        <f>VLOOKUP(E19,merchant_master!$B$2:$E$6,4,FALSE)</f>
        <v>APAC</v>
      </c>
      <c r="J19">
        <f t="shared" si="2"/>
        <v>0</v>
      </c>
      <c r="K19">
        <f>L19*VLOOKUP(M19,exchange_rates!$B$2:$C$4,2,FALSE)</f>
        <v>1725.5</v>
      </c>
      <c r="L19">
        <v>145000</v>
      </c>
      <c r="M19" t="s">
        <v>24</v>
      </c>
      <c r="N19" t="str">
        <f t="shared" si="3"/>
        <v>Chargeback</v>
      </c>
      <c r="O19" t="s">
        <v>84</v>
      </c>
      <c r="P19">
        <f t="shared" si="4"/>
        <v>1</v>
      </c>
      <c r="Q19">
        <f t="shared" si="5"/>
        <v>86</v>
      </c>
      <c r="R19" t="s">
        <v>85</v>
      </c>
      <c r="S19" t="str">
        <f t="shared" si="6"/>
        <v>APAC</v>
      </c>
      <c r="T19" t="s">
        <v>38</v>
      </c>
      <c r="U19" t="s">
        <v>65</v>
      </c>
      <c r="V19" t="s">
        <v>29</v>
      </c>
    </row>
    <row r="20" spans="1:22">
      <c r="A20" t="s">
        <v>86</v>
      </c>
      <c r="B20" t="str">
        <f t="shared" si="0"/>
        <v>05-03-2026</v>
      </c>
      <c r="C20" s="3">
        <v>46086</v>
      </c>
      <c r="D20" s="3" t="str">
        <f>VLOOKUP(E20,merchant_master!$B$2:$E$6,2,FALSE)</f>
        <v>Aisha Khan</v>
      </c>
      <c r="E20" s="3" t="str">
        <f t="shared" si="1"/>
        <v>Alpha Mart</v>
      </c>
      <c r="F20" t="s">
        <v>53</v>
      </c>
      <c r="G20" t="str" cm="1">
        <f t="array" ref="G20">INDEX(merchant_master!$A$2:$A$6,MATCH(E20,merchant_master!$B$2:$B$6,0))</f>
        <v>M001</v>
      </c>
      <c r="H20" t="str">
        <f>VLOOKUP(E20,merchant_master!$B$2:$E$6,3,FALSE)</f>
        <v>Grocery</v>
      </c>
      <c r="I20" t="str">
        <f>VLOOKUP(E20,merchant_master!$B$2:$E$6,4,FALSE)</f>
        <v>APAC</v>
      </c>
      <c r="J20">
        <f t="shared" si="2"/>
        <v>0</v>
      </c>
      <c r="K20">
        <f>L20*VLOOKUP(M20,exchange_rates!$B$2:$C$4,2,FALSE)</f>
        <v>3094</v>
      </c>
      <c r="L20">
        <v>260000</v>
      </c>
      <c r="M20" t="s">
        <v>24</v>
      </c>
      <c r="N20" t="str">
        <f t="shared" si="3"/>
        <v>Failed E05 Timeout</v>
      </c>
      <c r="O20" t="s">
        <v>81</v>
      </c>
      <c r="P20">
        <f t="shared" si="4"/>
        <v>0</v>
      </c>
      <c r="Q20">
        <f t="shared" si="5"/>
        <v>67</v>
      </c>
      <c r="R20" t="s">
        <v>87</v>
      </c>
      <c r="S20" t="str">
        <f t="shared" si="6"/>
        <v>APAC</v>
      </c>
      <c r="T20" t="s">
        <v>44</v>
      </c>
      <c r="U20" t="s">
        <v>65</v>
      </c>
      <c r="V20" t="s">
        <v>51</v>
      </c>
    </row>
    <row r="21" spans="1:22">
      <c r="A21" t="s">
        <v>88</v>
      </c>
      <c r="B21" t="str">
        <f t="shared" si="0"/>
        <v>05-03-2026</v>
      </c>
      <c r="C21" s="3">
        <v>46086</v>
      </c>
      <c r="D21" s="3" t="str">
        <f>VLOOKUP(E21,merchant_master!$B$2:$E$6,2,FALSE)</f>
        <v>Aisha Khan</v>
      </c>
      <c r="E21" s="3" t="str">
        <f t="shared" si="1"/>
        <v>Alpha Mart</v>
      </c>
      <c r="F21" t="s">
        <v>47</v>
      </c>
      <c r="G21" t="str" cm="1">
        <f t="array" ref="G21">INDEX(merchant_master!$A$2:$A$6,MATCH(E21,merchant_master!$B$2:$B$6,0))</f>
        <v>M001</v>
      </c>
      <c r="H21" t="str">
        <f>VLOOKUP(E21,merchant_master!$B$2:$E$6,3,FALSE)</f>
        <v>Grocery</v>
      </c>
      <c r="I21" t="str">
        <f>VLOOKUP(E21,merchant_master!$B$2:$E$6,4,FALSE)</f>
        <v>APAC</v>
      </c>
      <c r="J21">
        <f t="shared" si="2"/>
        <v>1</v>
      </c>
      <c r="K21">
        <f>L21*VLOOKUP(M21,exchange_rates!$B$2:$C$4,2,FALSE)</f>
        <v>6188</v>
      </c>
      <c r="L21">
        <v>520000</v>
      </c>
      <c r="M21" t="s">
        <v>24</v>
      </c>
      <c r="N21" t="str">
        <f t="shared" si="3"/>
        <v>Captured</v>
      </c>
      <c r="O21" t="s">
        <v>32</v>
      </c>
      <c r="P21">
        <f t="shared" si="4"/>
        <v>1</v>
      </c>
      <c r="Q21">
        <f t="shared" si="5"/>
        <v>75</v>
      </c>
      <c r="R21">
        <v>75</v>
      </c>
      <c r="S21" t="str">
        <f t="shared" si="6"/>
        <v>APAC</v>
      </c>
      <c r="T21" t="s">
        <v>27</v>
      </c>
      <c r="U21" t="s">
        <v>50</v>
      </c>
      <c r="V21" t="s">
        <v>29</v>
      </c>
    </row>
    <row r="22" spans="1:22">
      <c r="A22" t="s">
        <v>89</v>
      </c>
      <c r="B22" t="str">
        <f t="shared" si="0"/>
        <v>06-03-2026</v>
      </c>
      <c r="C22" s="3">
        <v>46087</v>
      </c>
      <c r="D22" s="3" t="str">
        <f>VLOOKUP(E22,merchant_master!$B$2:$E$6,2,FALSE)</f>
        <v>Rohan Mehta</v>
      </c>
      <c r="E22" s="3" t="str">
        <f t="shared" si="1"/>
        <v>Beta Stores</v>
      </c>
      <c r="F22" t="s">
        <v>90</v>
      </c>
      <c r="G22" t="str" cm="1">
        <f t="array" ref="G22">INDEX(merchant_master!$A$2:$A$6,MATCH(E22,merchant_master!$B$2:$B$6,0))</f>
        <v>M002</v>
      </c>
      <c r="H22" t="str">
        <f>VLOOKUP(E22,merchant_master!$B$2:$E$6,3,FALSE)</f>
        <v>Electronics</v>
      </c>
      <c r="I22" t="str">
        <f>VLOOKUP(E22,merchant_master!$B$2:$E$6,4,FALSE)</f>
        <v>APAC</v>
      </c>
      <c r="J22">
        <f t="shared" si="2"/>
        <v>0</v>
      </c>
      <c r="K22">
        <f>L22*VLOOKUP(M22,exchange_rates!$B$2:$C$4,2,FALSE)</f>
        <v>3927</v>
      </c>
      <c r="L22">
        <v>330000</v>
      </c>
      <c r="M22" t="s">
        <v>24</v>
      </c>
      <c r="N22" t="str">
        <f t="shared" si="3"/>
        <v>Captured</v>
      </c>
      <c r="O22" t="s">
        <v>67</v>
      </c>
      <c r="P22">
        <f t="shared" si="4"/>
        <v>0</v>
      </c>
      <c r="Q22">
        <f t="shared" si="5"/>
        <v>63</v>
      </c>
      <c r="R22" t="s">
        <v>91</v>
      </c>
      <c r="S22" t="str">
        <f t="shared" si="6"/>
        <v>INVALID_OR_MISSING</v>
      </c>
      <c r="U22" t="s">
        <v>56</v>
      </c>
      <c r="V22" t="s">
        <v>34</v>
      </c>
    </row>
    <row r="23" spans="1:22">
      <c r="A23" t="s">
        <v>92</v>
      </c>
      <c r="B23" t="str">
        <f t="shared" si="0"/>
        <v>06-03-2026</v>
      </c>
      <c r="C23" s="3">
        <v>46087</v>
      </c>
      <c r="D23" s="3" t="str">
        <f>VLOOKUP(E23,merchant_master!$B$2:$E$6,2,FALSE)</f>
        <v>Aisha Khan</v>
      </c>
      <c r="E23" s="3" t="str">
        <f t="shared" si="1"/>
        <v>Alpha Mart</v>
      </c>
      <c r="F23" t="s">
        <v>31</v>
      </c>
      <c r="G23" t="str" cm="1">
        <f t="array" ref="G23">INDEX(merchant_master!$A$2:$A$6,MATCH(E23,merchant_master!$B$2:$B$6,0))</f>
        <v>M001</v>
      </c>
      <c r="H23" t="str">
        <f>VLOOKUP(E23,merchant_master!$B$2:$E$6,3,FALSE)</f>
        <v>Grocery</v>
      </c>
      <c r="I23" t="str">
        <f>VLOOKUP(E23,merchant_master!$B$2:$E$6,4,FALSE)</f>
        <v>APAC</v>
      </c>
      <c r="J23">
        <f t="shared" si="2"/>
        <v>0</v>
      </c>
      <c r="K23">
        <f>L23*VLOOKUP(M23,exchange_rates!$B$2:$C$4,2,FALSE)</f>
        <v>4879</v>
      </c>
      <c r="L23">
        <v>410000</v>
      </c>
      <c r="M23" t="s">
        <v>24</v>
      </c>
      <c r="N23" t="str">
        <f t="shared" si="3"/>
        <v>Captured</v>
      </c>
      <c r="O23" t="s">
        <v>67</v>
      </c>
      <c r="P23">
        <f t="shared" si="4"/>
        <v>0</v>
      </c>
      <c r="Q23">
        <f t="shared" si="5"/>
        <v>60</v>
      </c>
      <c r="R23">
        <v>60</v>
      </c>
      <c r="S23" t="str">
        <f t="shared" si="6"/>
        <v>APAC</v>
      </c>
      <c r="T23" t="s">
        <v>27</v>
      </c>
      <c r="U23" t="s">
        <v>58</v>
      </c>
      <c r="V23" t="s">
        <v>29</v>
      </c>
    </row>
    <row r="24" spans="1:22">
      <c r="A24" t="s">
        <v>93</v>
      </c>
      <c r="B24" t="str">
        <f t="shared" si="0"/>
        <v>01-03-2026</v>
      </c>
      <c r="C24" s="3">
        <v>46082</v>
      </c>
      <c r="D24" s="3" t="str">
        <f>VLOOKUP(E24,merchant_master!$B$2:$E$6,2,FALSE)</f>
        <v>Elena Rossi</v>
      </c>
      <c r="E24" s="3" t="str">
        <f t="shared" si="1"/>
        <v>City Pharma</v>
      </c>
      <c r="F24" t="s">
        <v>94</v>
      </c>
      <c r="G24" t="str" cm="1">
        <f t="array" ref="G24">INDEX(merchant_master!$A$2:$A$6,MATCH(E24,merchant_master!$B$2:$B$6,0))</f>
        <v>M003</v>
      </c>
      <c r="H24" t="str">
        <f>VLOOKUP(E24,merchant_master!$B$2:$E$6,3,FALSE)</f>
        <v>Healthcare</v>
      </c>
      <c r="I24" t="str">
        <f>VLOOKUP(E24,merchant_master!$B$2:$E$6,4,FALSE)</f>
        <v>EU</v>
      </c>
      <c r="J24">
        <f t="shared" si="2"/>
        <v>0</v>
      </c>
      <c r="K24">
        <f>L24*VLOOKUP(M24,exchange_rates!$B$2:$C$4,2,FALSE)</f>
        <v>5616</v>
      </c>
      <c r="L24">
        <v>5200</v>
      </c>
      <c r="M24" t="s">
        <v>95</v>
      </c>
      <c r="N24" t="str">
        <f t="shared" si="3"/>
        <v>Captured</v>
      </c>
      <c r="O24" t="s">
        <v>32</v>
      </c>
      <c r="P24">
        <f t="shared" si="4"/>
        <v>0</v>
      </c>
      <c r="Q24">
        <f t="shared" si="5"/>
        <v>42</v>
      </c>
      <c r="R24">
        <v>42</v>
      </c>
      <c r="S24" t="str">
        <f t="shared" si="6"/>
        <v>EU</v>
      </c>
      <c r="T24" t="s">
        <v>96</v>
      </c>
      <c r="U24" t="s">
        <v>39</v>
      </c>
      <c r="V24" t="s">
        <v>34</v>
      </c>
    </row>
    <row r="25" spans="1:22">
      <c r="A25" t="s">
        <v>97</v>
      </c>
      <c r="B25" t="str">
        <f t="shared" si="0"/>
        <v>02-03-2026</v>
      </c>
      <c r="C25" s="3">
        <v>46083</v>
      </c>
      <c r="D25" s="3" t="str">
        <f>VLOOKUP(E25,merchant_master!$B$2:$E$6,2,FALSE)</f>
        <v>Nina Weber</v>
      </c>
      <c r="E25" s="3" t="str">
        <f t="shared" si="1"/>
        <v>Eco Home</v>
      </c>
      <c r="F25" t="s">
        <v>98</v>
      </c>
      <c r="G25" t="str" cm="1">
        <f t="array" ref="G25">INDEX(merchant_master!$A$2:$A$6,MATCH(E25,merchant_master!$B$2:$B$6,0))</f>
        <v>M005</v>
      </c>
      <c r="H25" t="str">
        <f>VLOOKUP(E25,merchant_master!$B$2:$E$6,3,FALSE)</f>
        <v>Home</v>
      </c>
      <c r="I25" t="str">
        <f>VLOOKUP(E25,merchant_master!$B$2:$E$6,4,FALSE)</f>
        <v>EU</v>
      </c>
      <c r="J25">
        <f t="shared" si="2"/>
        <v>1</v>
      </c>
      <c r="K25">
        <f>L25*VLOOKUP(M25,exchange_rates!$B$2:$C$4,2,FALSE)</f>
        <v>6588</v>
      </c>
      <c r="L25">
        <v>6100</v>
      </c>
      <c r="M25" t="s">
        <v>95</v>
      </c>
      <c r="N25" t="str">
        <f t="shared" si="3"/>
        <v>Chargeback</v>
      </c>
      <c r="O25" t="s">
        <v>84</v>
      </c>
      <c r="P25">
        <f t="shared" si="4"/>
        <v>1</v>
      </c>
      <c r="Q25">
        <f t="shared" si="5"/>
        <v>65</v>
      </c>
      <c r="R25" t="s">
        <v>99</v>
      </c>
      <c r="S25" t="str">
        <f t="shared" si="6"/>
        <v>EU</v>
      </c>
      <c r="T25" t="s">
        <v>100</v>
      </c>
      <c r="U25" t="s">
        <v>45</v>
      </c>
      <c r="V25" t="s">
        <v>34</v>
      </c>
    </row>
    <row r="26" spans="1:22">
      <c r="A26" t="s">
        <v>101</v>
      </c>
      <c r="B26" t="str">
        <f t="shared" si="0"/>
        <v>03-03-2026</v>
      </c>
      <c r="C26" s="3">
        <v>46084</v>
      </c>
      <c r="D26" s="3" t="str">
        <f>VLOOKUP(E26,merchant_master!$B$2:$E$6,2,FALSE)</f>
        <v>Elena Rossi</v>
      </c>
      <c r="E26" s="3" t="str">
        <f t="shared" si="1"/>
        <v>City Pharma</v>
      </c>
      <c r="F26" t="s">
        <v>94</v>
      </c>
      <c r="G26" t="str" cm="1">
        <f t="array" ref="G26">INDEX(merchant_master!$A$2:$A$6,MATCH(E26,merchant_master!$B$2:$B$6,0))</f>
        <v>M003</v>
      </c>
      <c r="H26" t="str">
        <f>VLOOKUP(E26,merchant_master!$B$2:$E$6,3,FALSE)</f>
        <v>Healthcare</v>
      </c>
      <c r="I26" t="str">
        <f>VLOOKUP(E26,merchant_master!$B$2:$E$6,4,FALSE)</f>
        <v>EU</v>
      </c>
      <c r="J26">
        <f t="shared" si="2"/>
        <v>0</v>
      </c>
      <c r="K26">
        <f>L26*VLOOKUP(M26,exchange_rates!$B$2:$C$4,2,FALSE)</f>
        <v>3024</v>
      </c>
      <c r="L26">
        <v>2800</v>
      </c>
      <c r="M26" t="s">
        <v>95</v>
      </c>
      <c r="N26" t="str">
        <f t="shared" si="3"/>
        <v>Captured</v>
      </c>
      <c r="O26" t="s">
        <v>67</v>
      </c>
      <c r="P26">
        <f t="shared" si="4"/>
        <v>0</v>
      </c>
      <c r="Q26">
        <f t="shared" si="5"/>
        <v>38</v>
      </c>
      <c r="R26">
        <v>38</v>
      </c>
      <c r="S26" t="str">
        <f t="shared" si="6"/>
        <v>EU</v>
      </c>
      <c r="T26" t="s">
        <v>102</v>
      </c>
      <c r="U26" t="s">
        <v>50</v>
      </c>
      <c r="V26" t="s">
        <v>51</v>
      </c>
    </row>
    <row r="27" spans="1:22">
      <c r="A27" t="s">
        <v>103</v>
      </c>
      <c r="B27" t="str">
        <f t="shared" si="0"/>
        <v>05-03-2026</v>
      </c>
      <c r="C27" s="3">
        <v>46086</v>
      </c>
      <c r="D27" s="3" t="str">
        <f>VLOOKUP(E27,merchant_master!$B$2:$E$6,2,FALSE)</f>
        <v>Nina Weber</v>
      </c>
      <c r="E27" s="3" t="str">
        <f t="shared" si="1"/>
        <v>Eco Home</v>
      </c>
      <c r="F27" t="s">
        <v>98</v>
      </c>
      <c r="G27" t="str" cm="1">
        <f t="array" ref="G27">INDEX(merchant_master!$A$2:$A$6,MATCH(E27,merchant_master!$B$2:$B$6,0))</f>
        <v>M005</v>
      </c>
      <c r="H27" t="str">
        <f>VLOOKUP(E27,merchant_master!$B$2:$E$6,3,FALSE)</f>
        <v>Home</v>
      </c>
      <c r="I27" t="str">
        <f>VLOOKUP(E27,merchant_master!$B$2:$E$6,4,FALSE)</f>
        <v>EU</v>
      </c>
      <c r="J27">
        <f t="shared" si="2"/>
        <v>0</v>
      </c>
      <c r="K27">
        <f>L27*VLOOKUP(M27,exchange_rates!$B$2:$C$4,2,FALSE)</f>
        <v>3564</v>
      </c>
      <c r="L27">
        <v>3300</v>
      </c>
      <c r="M27" t="s">
        <v>95</v>
      </c>
      <c r="N27" t="str">
        <f t="shared" si="3"/>
        <v>Failed E05 Timeout</v>
      </c>
      <c r="O27" t="s">
        <v>81</v>
      </c>
      <c r="P27">
        <f t="shared" si="4"/>
        <v>0</v>
      </c>
      <c r="Q27">
        <f t="shared" si="5"/>
        <v>44</v>
      </c>
      <c r="R27">
        <v>44</v>
      </c>
      <c r="S27" t="str">
        <f t="shared" si="6"/>
        <v>EU</v>
      </c>
      <c r="T27" t="s">
        <v>96</v>
      </c>
      <c r="U27" t="s">
        <v>56</v>
      </c>
      <c r="V27" t="s">
        <v>40</v>
      </c>
    </row>
    <row r="28" spans="1:22">
      <c r="A28" t="s">
        <v>104</v>
      </c>
      <c r="B28" t="str">
        <f t="shared" si="0"/>
        <v>01-03-2026</v>
      </c>
      <c r="C28" s="3">
        <v>46082</v>
      </c>
      <c r="D28" s="3" t="str">
        <f>VLOOKUP(E28,merchant_master!$B$2:$E$6,2,FALSE)</f>
        <v>Marcus Lee</v>
      </c>
      <c r="E28" s="3" t="str">
        <f t="shared" si="1"/>
        <v>Delta Travels</v>
      </c>
      <c r="F28" t="s">
        <v>105</v>
      </c>
      <c r="G28" t="str" cm="1">
        <f t="array" ref="G28">INDEX(merchant_master!$A$2:$A$6,MATCH(E28,merchant_master!$B$2:$B$6,0))</f>
        <v>M004</v>
      </c>
      <c r="H28" t="str">
        <f>VLOOKUP(E28,merchant_master!$B$2:$E$6,3,FALSE)</f>
        <v>Travel</v>
      </c>
      <c r="I28" t="str">
        <f>VLOOKUP(E28,merchant_master!$B$2:$E$6,4,FALSE)</f>
        <v>US</v>
      </c>
      <c r="J28">
        <f t="shared" si="2"/>
        <v>1</v>
      </c>
      <c r="K28">
        <f>L28*VLOOKUP(M28,exchange_rates!$B$2:$C$4,2,FALSE)</f>
        <v>7200</v>
      </c>
      <c r="L28">
        <v>7200</v>
      </c>
      <c r="M28" t="s">
        <v>106</v>
      </c>
      <c r="N28" t="str">
        <f t="shared" si="3"/>
        <v>Captured</v>
      </c>
      <c r="O28" t="s">
        <v>67</v>
      </c>
      <c r="P28">
        <f t="shared" si="4"/>
        <v>0</v>
      </c>
      <c r="Q28">
        <f t="shared" si="5"/>
        <v>49</v>
      </c>
      <c r="R28">
        <v>49</v>
      </c>
      <c r="S28" t="str">
        <f t="shared" si="6"/>
        <v>US</v>
      </c>
      <c r="T28" t="s">
        <v>107</v>
      </c>
      <c r="U28" t="s">
        <v>58</v>
      </c>
      <c r="V28" t="s">
        <v>34</v>
      </c>
    </row>
    <row r="29" spans="1:22">
      <c r="A29" t="s">
        <v>108</v>
      </c>
      <c r="B29" t="str">
        <f t="shared" si="0"/>
        <v>02-03-2026</v>
      </c>
      <c r="C29" s="3">
        <v>46083</v>
      </c>
      <c r="D29" s="3" t="str">
        <f>VLOOKUP(E29,merchant_master!$B$2:$E$6,2,FALSE)</f>
        <v>Marcus Lee</v>
      </c>
      <c r="E29" s="3" t="str">
        <f t="shared" si="1"/>
        <v>Delta Travels</v>
      </c>
      <c r="F29" t="s">
        <v>109</v>
      </c>
      <c r="G29" t="str" cm="1">
        <f t="array" ref="G29">INDEX(merchant_master!$A$2:$A$6,MATCH(E29,merchant_master!$B$2:$B$6,0))</f>
        <v>M004</v>
      </c>
      <c r="H29" t="str">
        <f>VLOOKUP(E29,merchant_master!$B$2:$E$6,3,FALSE)</f>
        <v>Travel</v>
      </c>
      <c r="I29" t="str">
        <f>VLOOKUP(E29,merchant_master!$B$2:$E$6,4,FALSE)</f>
        <v>US</v>
      </c>
      <c r="J29">
        <f t="shared" si="2"/>
        <v>0</v>
      </c>
      <c r="K29">
        <f>L29*VLOOKUP(M29,exchange_rates!$B$2:$C$4,2,FALSE)</f>
        <v>3100</v>
      </c>
      <c r="L29">
        <v>3100</v>
      </c>
      <c r="M29" t="s">
        <v>106</v>
      </c>
      <c r="N29" t="str">
        <f t="shared" si="3"/>
        <v>Captured</v>
      </c>
      <c r="O29" t="s">
        <v>37</v>
      </c>
      <c r="P29">
        <f t="shared" si="4"/>
        <v>0</v>
      </c>
      <c r="Q29">
        <f t="shared" si="5"/>
        <v>41</v>
      </c>
      <c r="R29" t="s">
        <v>110</v>
      </c>
      <c r="S29" t="str">
        <f t="shared" si="6"/>
        <v>US</v>
      </c>
      <c r="T29" t="s">
        <v>111</v>
      </c>
      <c r="U29" t="s">
        <v>65</v>
      </c>
      <c r="V29" t="s">
        <v>34</v>
      </c>
    </row>
    <row r="30" spans="1:22">
      <c r="A30" t="s">
        <v>112</v>
      </c>
      <c r="B30" t="str">
        <f t="shared" si="0"/>
        <v>04-03-2026</v>
      </c>
      <c r="C30" s="3">
        <v>46085</v>
      </c>
      <c r="D30" s="3" t="str">
        <f>VLOOKUP(E30,merchant_master!$B$2:$E$6,2,FALSE)</f>
        <v>Marcus Lee</v>
      </c>
      <c r="E30" s="3" t="str">
        <f t="shared" si="1"/>
        <v>Delta Travels</v>
      </c>
      <c r="F30" t="s">
        <v>113</v>
      </c>
      <c r="G30" t="str" cm="1">
        <f t="array" ref="G30">INDEX(merchant_master!$A$2:$A$6,MATCH(E30,merchant_master!$B$2:$B$6,0))</f>
        <v>M004</v>
      </c>
      <c r="H30" t="str">
        <f>VLOOKUP(E30,merchant_master!$B$2:$E$6,3,FALSE)</f>
        <v>Travel</v>
      </c>
      <c r="I30" t="str">
        <f>VLOOKUP(E30,merchant_master!$B$2:$E$6,4,FALSE)</f>
        <v>US</v>
      </c>
      <c r="J30">
        <f t="shared" si="2"/>
        <v>0</v>
      </c>
      <c r="K30">
        <f>L30*VLOOKUP(M30,exchange_rates!$B$2:$C$4,2,FALSE)</f>
        <v>2500</v>
      </c>
      <c r="L30">
        <v>2500</v>
      </c>
      <c r="M30" t="s">
        <v>106</v>
      </c>
      <c r="N30" t="str">
        <f t="shared" si="3"/>
        <v>Chargeback</v>
      </c>
      <c r="O30" t="s">
        <v>84</v>
      </c>
      <c r="P30">
        <f t="shared" si="4"/>
        <v>1</v>
      </c>
      <c r="Q30">
        <f t="shared" si="5"/>
        <v>58</v>
      </c>
      <c r="R30" t="s">
        <v>114</v>
      </c>
      <c r="S30" t="str">
        <f t="shared" si="6"/>
        <v>US</v>
      </c>
      <c r="T30" t="s">
        <v>111</v>
      </c>
      <c r="U30" t="s">
        <v>69</v>
      </c>
      <c r="V30" t="s">
        <v>51</v>
      </c>
    </row>
    <row r="31" spans="1:22">
      <c r="A31" t="s">
        <v>115</v>
      </c>
      <c r="B31" t="str">
        <f t="shared" si="0"/>
        <v>06-03-2026</v>
      </c>
      <c r="C31" s="3">
        <v>46087</v>
      </c>
      <c r="D31" s="3" t="str">
        <f>VLOOKUP(E31,merchant_master!$B$2:$E$6,2,FALSE)</f>
        <v>Marcus Lee</v>
      </c>
      <c r="E31" s="3" t="str">
        <f t="shared" si="1"/>
        <v>Delta Travels</v>
      </c>
      <c r="F31" t="s">
        <v>105</v>
      </c>
      <c r="G31" t="str" cm="1">
        <f t="array" ref="G31">INDEX(merchant_master!$A$2:$A$6,MATCH(E31,merchant_master!$B$2:$B$6,0))</f>
        <v>M004</v>
      </c>
      <c r="H31" t="str">
        <f>VLOOKUP(E31,merchant_master!$B$2:$E$6,3,FALSE)</f>
        <v>Travel</v>
      </c>
      <c r="I31" t="str">
        <f>VLOOKUP(E31,merchant_master!$B$2:$E$6,4,FALSE)</f>
        <v>US</v>
      </c>
      <c r="J31">
        <f t="shared" si="2"/>
        <v>0</v>
      </c>
      <c r="K31">
        <f>L31*VLOOKUP(M31,exchange_rates!$B$2:$C$4,2,FALSE)</f>
        <v>1800</v>
      </c>
      <c r="L31">
        <v>1800</v>
      </c>
      <c r="M31" t="s">
        <v>106</v>
      </c>
      <c r="N31" t="str">
        <f t="shared" si="3"/>
        <v>Failed E05 Timeout</v>
      </c>
      <c r="O31" t="s">
        <v>81</v>
      </c>
      <c r="P31">
        <f t="shared" si="4"/>
        <v>0</v>
      </c>
      <c r="Q31">
        <f t="shared" si="5"/>
        <v>47</v>
      </c>
      <c r="R31" t="s">
        <v>116</v>
      </c>
      <c r="S31" t="str">
        <f t="shared" si="6"/>
        <v>US</v>
      </c>
      <c r="T31" t="s">
        <v>111</v>
      </c>
      <c r="U31" t="s">
        <v>72</v>
      </c>
      <c r="V31" t="s">
        <v>29</v>
      </c>
    </row>
  </sheetData>
  <autoFilter xmlns:etc="http://www.wps.cn/officeDocument/2017/etCustomData" ref="A1:V3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G15" sqref="G15"/>
    </sheetView>
  </sheetViews>
  <sheetFormatPr defaultColWidth="8.72727272727273" defaultRowHeight="14.5" outlineLevelCol="2"/>
  <cols>
    <col min="1" max="1" width="11"/>
  </cols>
  <sheetData>
    <row r="1" spans="1:3">
      <c r="A1" s="1" t="s">
        <v>117</v>
      </c>
      <c r="B1" s="1" t="s">
        <v>12</v>
      </c>
      <c r="C1" s="1" t="s">
        <v>118</v>
      </c>
    </row>
    <row r="2" spans="1:3">
      <c r="A2" s="2">
        <v>46082</v>
      </c>
      <c r="B2" s="1" t="s">
        <v>24</v>
      </c>
      <c r="C2" s="1">
        <v>0.0119</v>
      </c>
    </row>
    <row r="3" spans="1:3">
      <c r="A3" s="2">
        <v>46082</v>
      </c>
      <c r="B3" s="1" t="s">
        <v>95</v>
      </c>
      <c r="C3" s="1">
        <v>1.08</v>
      </c>
    </row>
    <row r="4" spans="1:3">
      <c r="A4" s="2">
        <v>46082</v>
      </c>
      <c r="B4" s="1" t="s">
        <v>106</v>
      </c>
      <c r="C4" s="1">
        <v>1</v>
      </c>
    </row>
    <row r="5" spans="1:3">
      <c r="A5" s="2">
        <v>46083</v>
      </c>
      <c r="B5" s="1" t="s">
        <v>24</v>
      </c>
      <c r="C5" s="1">
        <v>0.012</v>
      </c>
    </row>
    <row r="6" spans="1:3">
      <c r="A6" s="2">
        <v>46083</v>
      </c>
      <c r="B6" s="1" t="s">
        <v>95</v>
      </c>
      <c r="C6" s="1">
        <v>1.09</v>
      </c>
    </row>
    <row r="7" spans="1:3">
      <c r="A7" s="2">
        <v>46083</v>
      </c>
      <c r="B7" s="1" t="s">
        <v>106</v>
      </c>
      <c r="C7" s="1">
        <v>1</v>
      </c>
    </row>
    <row r="8" spans="1:3">
      <c r="A8" s="2">
        <v>46084</v>
      </c>
      <c r="B8" s="1" t="s">
        <v>24</v>
      </c>
      <c r="C8" s="1">
        <v>0.0121</v>
      </c>
    </row>
    <row r="9" spans="1:3">
      <c r="A9" s="2">
        <v>46084</v>
      </c>
      <c r="B9" s="1" t="s">
        <v>95</v>
      </c>
      <c r="C9" s="1">
        <v>1.08</v>
      </c>
    </row>
    <row r="10" spans="1:3">
      <c r="A10" s="2">
        <v>46084</v>
      </c>
      <c r="B10" s="1" t="s">
        <v>106</v>
      </c>
      <c r="C10" s="1">
        <v>1</v>
      </c>
    </row>
    <row r="11" spans="1:3">
      <c r="A11" s="2">
        <v>46085</v>
      </c>
      <c r="B11" s="1" t="s">
        <v>24</v>
      </c>
      <c r="C11" s="1">
        <v>0.012</v>
      </c>
    </row>
    <row r="12" spans="1:3">
      <c r="A12" s="2">
        <v>46085</v>
      </c>
      <c r="B12" s="1" t="s">
        <v>95</v>
      </c>
      <c r="C12" s="1">
        <v>1.07</v>
      </c>
    </row>
    <row r="13" spans="1:3">
      <c r="A13" s="2">
        <v>46085</v>
      </c>
      <c r="B13" s="1" t="s">
        <v>106</v>
      </c>
      <c r="C13" s="1">
        <v>1</v>
      </c>
    </row>
    <row r="14" spans="1:3">
      <c r="A14" s="2">
        <v>46086</v>
      </c>
      <c r="B14" s="1" t="s">
        <v>24</v>
      </c>
      <c r="C14" s="1">
        <v>0.0118</v>
      </c>
    </row>
    <row r="15" spans="1:3">
      <c r="A15" s="2">
        <v>46086</v>
      </c>
      <c r="B15" s="1" t="s">
        <v>95</v>
      </c>
      <c r="C15" s="1">
        <v>1.09</v>
      </c>
    </row>
    <row r="16" spans="1:3">
      <c r="A16" s="2">
        <v>46086</v>
      </c>
      <c r="B16" s="1" t="s">
        <v>106</v>
      </c>
      <c r="C16" s="1">
        <v>1</v>
      </c>
    </row>
    <row r="17" spans="1:3">
      <c r="A17" s="2">
        <v>46087</v>
      </c>
      <c r="B17" s="1" t="s">
        <v>24</v>
      </c>
      <c r="C17" s="1">
        <v>0.0119</v>
      </c>
    </row>
    <row r="18" spans="1:3">
      <c r="A18" s="2">
        <v>46087</v>
      </c>
      <c r="B18" s="1" t="s">
        <v>95</v>
      </c>
      <c r="C18" s="1">
        <v>1.08</v>
      </c>
    </row>
    <row r="19" spans="1:3">
      <c r="A19" s="2">
        <v>46087</v>
      </c>
      <c r="B19" s="1" t="s">
        <v>106</v>
      </c>
      <c r="C19" s="1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1" sqref="E1"/>
    </sheetView>
  </sheetViews>
  <sheetFormatPr defaultColWidth="8.72727272727273" defaultRowHeight="14.5" outlineLevelRow="5" outlineLevelCol="4"/>
  <cols>
    <col min="1" max="1" width="12.3636363636364" customWidth="1"/>
    <col min="2" max="2" width="16" customWidth="1"/>
    <col min="3" max="3" width="15.9090909090909" customWidth="1"/>
    <col min="4" max="4" width="17.3636363636364" customWidth="1"/>
    <col min="5" max="5" width="14.3636363636364" customWidth="1"/>
  </cols>
  <sheetData>
    <row r="1" spans="1:5">
      <c r="A1" s="1" t="s">
        <v>6</v>
      </c>
      <c r="B1" s="1" t="s">
        <v>5</v>
      </c>
      <c r="C1" s="1" t="s">
        <v>3</v>
      </c>
      <c r="D1" s="1" t="s">
        <v>7</v>
      </c>
      <c r="E1" s="1" t="s">
        <v>8</v>
      </c>
    </row>
    <row r="2" spans="1:5">
      <c r="A2" s="1" t="s">
        <v>119</v>
      </c>
      <c r="B2" s="1" t="s">
        <v>47</v>
      </c>
      <c r="C2" s="1" t="s">
        <v>120</v>
      </c>
      <c r="D2" s="1" t="s">
        <v>121</v>
      </c>
      <c r="E2" s="1" t="s">
        <v>27</v>
      </c>
    </row>
    <row r="3" spans="1:5">
      <c r="A3" s="1" t="s">
        <v>122</v>
      </c>
      <c r="B3" s="1" t="s">
        <v>61</v>
      </c>
      <c r="C3" s="1" t="s">
        <v>123</v>
      </c>
      <c r="D3" s="1" t="s">
        <v>124</v>
      </c>
      <c r="E3" s="1" t="s">
        <v>27</v>
      </c>
    </row>
    <row r="4" spans="1:5">
      <c r="A4" s="1" t="s">
        <v>125</v>
      </c>
      <c r="B4" s="1" t="s">
        <v>94</v>
      </c>
      <c r="C4" s="1" t="s">
        <v>126</v>
      </c>
      <c r="D4" s="1" t="s">
        <v>127</v>
      </c>
      <c r="E4" s="1" t="s">
        <v>100</v>
      </c>
    </row>
    <row r="5" spans="1:5">
      <c r="A5" s="1" t="s">
        <v>128</v>
      </c>
      <c r="B5" s="1" t="s">
        <v>109</v>
      </c>
      <c r="C5" s="1" t="s">
        <v>129</v>
      </c>
      <c r="D5" s="1" t="s">
        <v>130</v>
      </c>
      <c r="E5" s="1" t="s">
        <v>111</v>
      </c>
    </row>
    <row r="6" spans="1:5">
      <c r="A6" s="1" t="s">
        <v>131</v>
      </c>
      <c r="B6" s="1" t="s">
        <v>98</v>
      </c>
      <c r="C6" s="1" t="s">
        <v>132</v>
      </c>
      <c r="D6" s="1" t="s">
        <v>133</v>
      </c>
      <c r="E6" s="1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transactions_raw</vt:lpstr>
      <vt:lpstr>exchange_rates</vt:lpstr>
      <vt:lpstr>merchant_master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Joshi</cp:lastModifiedBy>
  <dcterms:created xsi:type="dcterms:W3CDTF">2026-05-09T17:29:00Z</dcterms:created>
  <dcterms:modified xsi:type="dcterms:W3CDTF">2026-05-09T20:50:27Z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0ECD00F890314CC1A9535255764D8483_13</vt:lpwstr>
  </property>
  <property fmtid="{D5CDD505-2E9C-101B-9397-08002B2CF9AE}" pid="3" name="KSOProductBuildVer">
    <vt:lpwstr>2057-12.2.0.23202</vt:lpwstr>
  </property>
</Properties>
</file>